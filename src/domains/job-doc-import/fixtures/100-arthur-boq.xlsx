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100 Arthur St — Electrical services</t>
        </is>
      </c>
    </row>
    <row r="2">
      <c r="A2" t="inlineStr">
        <is>
          <t>BOQ value</t>
        </is>
      </c>
      <c r="E2">
        <v>46034</v>
      </c>
    </row>
    <row r="4">
      <c r="A4" t="inlineStr">
        <is>
          <t>East Gym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Unit</t>
        </is>
      </c>
      <c r="D5" t="inlineStr">
        <is>
          <t>Rate</t>
        </is>
      </c>
      <c r="E5" t="inlineStr">
        <is>
          <t>Amount</t>
        </is>
      </c>
    </row>
    <row r="6">
      <c r="A6" t="inlineStr">
        <is>
          <t>Dedicated 20A ZIP circuit — boiling water unit</t>
        </is>
      </c>
      <c r="B6">
        <v>2</v>
      </c>
      <c r="C6" t="inlineStr">
        <is>
          <t>ea</t>
        </is>
      </c>
      <c r="D6">
        <v>450</v>
      </c>
      <c r="E6">
        <v>1400</v>
      </c>
    </row>
    <row r="7">
      <c r="A7" t="inlineStr">
        <is>
          <t>LED highbay luminaires — supply and install</t>
        </is>
      </c>
      <c r="B7">
        <v>20</v>
      </c>
      <c r="C7" t="inlineStr">
        <is>
          <t>ea</t>
        </is>
      </c>
      <c r="D7">
        <v>300</v>
      </c>
      <c r="E7">
        <f>B7*D7</f>
        <v>6000</v>
      </c>
    </row>
    <row r="8">
      <c r="A8" t="inlineStr">
        <is>
          <t>Sub-mains cabling from MSB</t>
        </is>
      </c>
      <c r="B8">
        <v>1</v>
      </c>
      <c r="C8" t="inlineStr">
        <is>
          <t>lot</t>
        </is>
      </c>
      <c r="D8">
        <v>8000</v>
      </c>
      <c r="E8">
        <f>B8*D8</f>
        <v>8000</v>
      </c>
    </row>
    <row r="9">
      <c r="A9" t="inlineStr">
        <is>
          <t>PL3 pendants over reception — Alternative</t>
        </is>
      </c>
      <c r="B9">
        <v>8</v>
      </c>
      <c r="C9" t="inlineStr">
        <is>
          <t>ea</t>
        </is>
      </c>
      <c r="D9">
        <v>365</v>
      </c>
      <c r="E9">
        <f>B9*D9</f>
        <v>2920</v>
      </c>
    </row>
    <row r="10">
      <c r="A10" t="inlineStr">
        <is>
          <t>Switchboard modifications — MSB</t>
        </is>
      </c>
      <c r="B10">
        <v>1</v>
      </c>
      <c r="C10" t="inlineStr">
        <is>
          <t>lot</t>
        </is>
      </c>
      <c r="D10">
        <v>10500</v>
      </c>
      <c r="E10" t="e">
        <f>B10*#REF!</f>
        <v>#REF!</v>
      </c>
    </row>
    <row r="11">
      <c r="A11" t="inlineStr">
        <is>
          <t>East Gym total</t>
        </is>
      </c>
      <c r="E11">
        <f>SUM(E6:E10)</f>
        <v>28820</v>
      </c>
    </row>
    <row r="13">
      <c r="A13" t="inlineStr">
        <is>
          <t>Upper Ground</t>
        </is>
      </c>
    </row>
    <row r="14">
      <c r="A14" t="inlineStr">
        <is>
          <t>Description</t>
        </is>
      </c>
      <c r="B14" t="inlineStr">
        <is>
          <t>Qty</t>
        </is>
      </c>
      <c r="C14" t="inlineStr">
        <is>
          <t>Unit</t>
        </is>
      </c>
      <c r="D14" t="inlineStr">
        <is>
          <t>Rate</t>
        </is>
      </c>
      <c r="E14" t="inlineStr">
        <is>
          <t>Amount</t>
        </is>
      </c>
    </row>
    <row r="15">
      <c r="A15" t="inlineStr">
        <is>
          <t>Distribution board DB-UG</t>
        </is>
      </c>
      <c r="B15">
        <v>1</v>
      </c>
      <c r="C15" t="inlineStr">
        <is>
          <t>ea</t>
        </is>
      </c>
      <c r="D15">
        <v>4200</v>
      </c>
      <c r="E15">
        <f>B15*D15</f>
        <v>4200</v>
      </c>
    </row>
    <row r="16">
      <c r="A16" t="inlineStr">
        <is>
          <t>Lighting circuits — final subcircuits</t>
        </is>
      </c>
      <c r="B16">
        <v>14</v>
      </c>
      <c r="C16" t="inlineStr">
        <is>
          <t>ea</t>
        </is>
      </c>
      <c r="D16">
        <v>450</v>
      </c>
      <c r="E16">
        <f>B16*D16</f>
        <v>6300</v>
      </c>
    </row>
    <row r="17">
      <c r="A17" t="inlineStr">
        <is>
          <t>Data cabling — by others (connection only)</t>
        </is>
      </c>
      <c r="B17">
        <v>1</v>
      </c>
      <c r="C17" t="inlineStr">
        <is>
          <t>lot</t>
        </is>
      </c>
      <c r="D17">
        <v>1730</v>
      </c>
      <c r="E17">
        <f>B17*D17</f>
        <v>1730</v>
      </c>
    </row>
    <row r="18">
      <c r="A18" t="inlineStr">
        <is>
          <t>Temporary power allowance</t>
        </is>
      </c>
      <c r="C18" t="inlineStr">
        <is>
          <t>lot</t>
        </is>
      </c>
      <c r="E18">
        <v>500</v>
      </c>
    </row>
    <row r="19">
      <c r="A19" t="inlineStr">
        <is>
          <t>Upper Ground total</t>
        </is>
      </c>
      <c r="E19">
        <f>SUM(E15:E18)</f>
        <v>12730</v>
      </c>
    </row>
  </sheetData>
</worksheet>
</file>